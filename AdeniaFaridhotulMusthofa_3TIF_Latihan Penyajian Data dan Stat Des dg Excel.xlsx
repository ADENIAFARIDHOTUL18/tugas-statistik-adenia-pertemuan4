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<sst xmlns="http://schemas.openxmlformats.org/spreadsheetml/2006/main" count="39" uniqueCount="39">
  <si>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Excel Sample Data</t>
  </si>
  <si>
    <t>Students Marksheet Data</t>
  </si>
  <si>
    <t>ID</t>
  </si>
  <si>
    <t>Name</t>
  </si>
  <si>
    <t>Marks in Quiz
 (Out of 100)</t>
  </si>
  <si>
    <t>Mid Term Results (Out of 100)</t>
  </si>
  <si>
    <t>Final Term Resul  (Out of 100)</t>
  </si>
  <si>
    <t>Final Score</t>
  </si>
  <si>
    <t>Grade</t>
  </si>
  <si>
    <t>Adenia Faridhotul Musthofa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</si>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</sst>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sz val="11"/>
      <color theme="1"/>
      <name val="ADLaM Display"/>
      <charset val="134"/>
    </font>
    <font>
      <b/>
      <sz val="14"/>
      <color rgb="FF272760"/>
      <name val="ADLaM Display"/>
      <charset val="134"/>
    </font>
    <font>
      <b/>
      <sz val="12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ADLaM Display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1" fontId="4" fillId="4" borderId="2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39"/>
  <sheetViews>
    <sheetView tabSelected="1" zoomScale="54" zoomScaleNormal="54" workbookViewId="0">
      <selection activeCell="H9" sqref="H9"/>
    </sheetView>
  </sheetViews>
  <sheetFormatPr defaultColWidth="9" defaultRowHeight="14.25"/>
  <cols>
    <col min="1" max="1" width="3.54166666666667" style="1" customWidth="1"/>
    <col min="2" max="2" width="16.9083333333333" style="1" customWidth="1"/>
    <col min="3" max="3" width="21.2666666666667" style="1" customWidth="1"/>
    <col min="4" max="4" width="17.725" style="1" customWidth="1"/>
    <col min="5" max="5" width="18.2666666666667" style="1" customWidth="1"/>
    <col min="6" max="7" width="21.8166666666667" style="1" customWidth="1"/>
    <col min="8" max="8" width="15.45" style="1" customWidth="1"/>
    <col min="9" max="9" width="21.8166666666667" style="1" customWidth="1"/>
    <col min="10" max="10" width="8.725" style="1"/>
    <col min="11" max="13" width="16.2666666666667" style="1" customWidth="1"/>
    <col min="14" max="14" width="10.3666666666667" style="1" customWidth="1"/>
    <col min="15" max="16381" width="8.725" style="1"/>
    <col min="16382" max="16384" width="9" style="1"/>
  </cols>
  <sheetData>
    <row r="3" ht="18.75" spans="2:9">
      <c r="B3" s="2" t="s">
        <v>0</v>
      </c>
      <c r="C3" s="2"/>
      <c r="D3" s="2"/>
      <c r="E3" s="2"/>
      <c r="F3" s="2"/>
      <c r="G3" s="2"/>
      <c r="H3" s="2"/>
      <c r="I3" s="2"/>
    </row>
    <row r="5" ht="18.75" spans="2:9">
      <c r="B5" s="2" t="s">
        <v>1</v>
      </c>
      <c r="C5" s="2"/>
      <c r="D5" s="2"/>
      <c r="E5" s="2"/>
      <c r="F5" s="2"/>
      <c r="G5" s="2"/>
      <c r="H5" s="2"/>
      <c r="I5" s="2"/>
    </row>
    <row r="8" ht="31.5" spans="2:9"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</row>
    <row r="9" ht="15" spans="2:9">
      <c r="B9" s="4">
        <v>2455301211</v>
      </c>
      <c r="C9" s="5" t="s">
        <v>9</v>
      </c>
      <c r="D9" s="4">
        <v>95</v>
      </c>
      <c r="E9" s="4">
        <v>88</v>
      </c>
      <c r="F9" s="4">
        <v>90</v>
      </c>
      <c r="G9" s="6">
        <f>(D9*32%)+(E9*33%)+(F9*35%)</f>
        <v>90.94</v>
      </c>
      <c r="H9" s="4" t="str">
        <f>IF(G9&gt;=81,"A",IF(G9&gt;=75,"AB",IF(G9&gt;=65,"B",IF(G9&gt;=60,"BC",IF(G9&gt;=50,"C","F")))))</f>
        <v>A</v>
      </c>
      <c r="I9" s="7"/>
    </row>
    <row r="10" ht="15" spans="2:9">
      <c r="B10" s="4">
        <v>120005</v>
      </c>
      <c r="C10" s="5" t="s">
        <v>10</v>
      </c>
      <c r="D10" s="4">
        <v>92</v>
      </c>
      <c r="E10" s="4">
        <v>88</v>
      </c>
      <c r="F10" s="4">
        <v>94</v>
      </c>
      <c r="G10" s="6">
        <f t="shared" ref="G10:G38" si="0">(D10*32%)+(E10*33%)+(F10*35%)</f>
        <v>91.38</v>
      </c>
      <c r="H10" s="4" t="str">
        <f>IF(G10&gt;=81,"A",IF(G10&gt;=75,"AB",IF(G10&gt;=65,"B",IF(G10&gt;=60,"BC",IF(G10&gt;=50,"C","F")))))</f>
        <v>A</v>
      </c>
      <c r="I10" s="7"/>
    </row>
    <row r="11" ht="15" spans="2:9">
      <c r="B11" s="4">
        <v>120017</v>
      </c>
      <c r="C11" s="5" t="s">
        <v>11</v>
      </c>
      <c r="D11" s="4">
        <v>48</v>
      </c>
      <c r="E11" s="4">
        <v>65</v>
      </c>
      <c r="F11" s="4">
        <v>56</v>
      </c>
      <c r="G11" s="6">
        <f t="shared" si="0"/>
        <v>56.41</v>
      </c>
      <c r="H11" s="4" t="str">
        <f t="shared" ref="H10:H38" si="1">IF(G11&gt;=81,"A",IF(G11&gt;=75,"AB",IF(G11&gt;=65,"B",IF(G11&gt;=60,"BC",IF(G11&gt;=50,"C","F")))))</f>
        <v>C</v>
      </c>
      <c r="I11" s="7"/>
    </row>
    <row r="12" ht="15" spans="2:9">
      <c r="B12" s="4">
        <v>120018</v>
      </c>
      <c r="C12" s="5" t="s">
        <v>12</v>
      </c>
      <c r="D12" s="4">
        <v>90</v>
      </c>
      <c r="E12" s="4">
        <v>85</v>
      </c>
      <c r="F12" s="4">
        <v>88</v>
      </c>
      <c r="G12" s="6">
        <f t="shared" si="0"/>
        <v>87.65</v>
      </c>
      <c r="H12" s="4" t="str">
        <f t="shared" si="1"/>
        <v>A</v>
      </c>
      <c r="I12" s="7"/>
    </row>
    <row r="13" ht="15" spans="2:9">
      <c r="B13" s="4">
        <v>120022</v>
      </c>
      <c r="C13" s="5" t="s">
        <v>13</v>
      </c>
      <c r="D13" s="4">
        <v>75</v>
      </c>
      <c r="E13" s="4">
        <v>80</v>
      </c>
      <c r="F13" s="4">
        <v>77</v>
      </c>
      <c r="G13" s="6">
        <f t="shared" si="0"/>
        <v>77.35</v>
      </c>
      <c r="H13" s="4" t="str">
        <f t="shared" si="1"/>
        <v>AB</v>
      </c>
      <c r="I13" s="7"/>
    </row>
    <row r="14" ht="15" spans="2:9">
      <c r="B14" s="4">
        <v>120024</v>
      </c>
      <c r="C14" s="5" t="s">
        <v>14</v>
      </c>
      <c r="D14" s="4">
        <v>88</v>
      </c>
      <c r="E14" s="4">
        <v>70</v>
      </c>
      <c r="F14" s="4">
        <v>65</v>
      </c>
      <c r="G14" s="6">
        <f t="shared" si="0"/>
        <v>74.01</v>
      </c>
      <c r="H14" s="4" t="str">
        <f t="shared" si="1"/>
        <v>B</v>
      </c>
      <c r="I14" s="7"/>
    </row>
    <row r="15" ht="15" spans="2:9">
      <c r="B15" s="4">
        <v>120025</v>
      </c>
      <c r="C15" s="5" t="s">
        <v>15</v>
      </c>
      <c r="D15" s="4">
        <v>75</v>
      </c>
      <c r="E15" s="4">
        <v>70</v>
      </c>
      <c r="F15" s="4">
        <v>75</v>
      </c>
      <c r="G15" s="6">
        <f t="shared" si="0"/>
        <v>73.35</v>
      </c>
      <c r="H15" s="4" t="str">
        <f t="shared" si="1"/>
        <v>B</v>
      </c>
      <c r="I15" s="7"/>
    </row>
    <row r="16" ht="15" spans="2:9">
      <c r="B16" s="4">
        <v>120027</v>
      </c>
      <c r="C16" s="5" t="s">
        <v>16</v>
      </c>
      <c r="D16" s="4">
        <v>95</v>
      </c>
      <c r="E16" s="4">
        <v>91</v>
      </c>
      <c r="F16" s="4">
        <v>96</v>
      </c>
      <c r="G16" s="6">
        <f t="shared" si="0"/>
        <v>94.03</v>
      </c>
      <c r="H16" s="4" t="str">
        <f t="shared" si="1"/>
        <v>A</v>
      </c>
      <c r="I16" s="7"/>
    </row>
    <row r="17" ht="15" spans="2:9">
      <c r="B17" s="4">
        <v>120034</v>
      </c>
      <c r="C17" s="5" t="s">
        <v>17</v>
      </c>
      <c r="D17" s="4">
        <v>79</v>
      </c>
      <c r="E17" s="4">
        <v>84</v>
      </c>
      <c r="F17" s="4">
        <v>78</v>
      </c>
      <c r="G17" s="6">
        <f t="shared" si="0"/>
        <v>80.3</v>
      </c>
      <c r="H17" s="4" t="str">
        <f t="shared" si="1"/>
        <v>AB</v>
      </c>
      <c r="I17" s="7"/>
    </row>
    <row r="18" ht="15" spans="2:9">
      <c r="B18" s="4">
        <v>120035</v>
      </c>
      <c r="C18" s="5" t="s">
        <v>18</v>
      </c>
      <c r="D18" s="4">
        <v>42</v>
      </c>
      <c r="E18" s="4">
        <v>48</v>
      </c>
      <c r="F18" s="4">
        <v>63</v>
      </c>
      <c r="G18" s="6">
        <f t="shared" si="0"/>
        <v>51.33</v>
      </c>
      <c r="H18" s="4" t="str">
        <f t="shared" si="1"/>
        <v>C</v>
      </c>
      <c r="I18" s="7"/>
    </row>
    <row r="19" ht="15" spans="2:9">
      <c r="B19" s="4">
        <v>120036</v>
      </c>
      <c r="C19" s="5" t="s">
        <v>19</v>
      </c>
      <c r="D19" s="4">
        <v>53</v>
      </c>
      <c r="E19" s="4">
        <v>64</v>
      </c>
      <c r="F19" s="4">
        <v>59</v>
      </c>
      <c r="G19" s="6">
        <f t="shared" si="0"/>
        <v>58.73</v>
      </c>
      <c r="H19" s="4" t="str">
        <f t="shared" si="1"/>
        <v>C</v>
      </c>
      <c r="I19" s="7"/>
    </row>
    <row r="20" ht="15" spans="2:9">
      <c r="B20" s="4">
        <v>120038</v>
      </c>
      <c r="C20" s="5" t="s">
        <v>20</v>
      </c>
      <c r="D20" s="4">
        <v>91</v>
      </c>
      <c r="E20" s="4">
        <v>95</v>
      </c>
      <c r="F20" s="4">
        <v>90</v>
      </c>
      <c r="G20" s="6">
        <f t="shared" si="0"/>
        <v>91.97</v>
      </c>
      <c r="H20" s="4" t="str">
        <f t="shared" si="1"/>
        <v>A</v>
      </c>
      <c r="I20" s="7"/>
    </row>
    <row r="21" ht="15" spans="2:9">
      <c r="B21" s="4">
        <v>120039</v>
      </c>
      <c r="C21" s="5" t="s">
        <v>21</v>
      </c>
      <c r="D21" s="4">
        <v>76</v>
      </c>
      <c r="E21" s="4">
        <v>81</v>
      </c>
      <c r="F21" s="4">
        <v>75</v>
      </c>
      <c r="G21" s="6">
        <f t="shared" si="0"/>
        <v>77.3</v>
      </c>
      <c r="H21" s="4" t="str">
        <f t="shared" si="1"/>
        <v>AB</v>
      </c>
      <c r="I21" s="7"/>
    </row>
    <row r="22" ht="15" spans="2:9">
      <c r="B22" s="4">
        <v>120046</v>
      </c>
      <c r="C22" s="5" t="s">
        <v>22</v>
      </c>
      <c r="D22" s="4">
        <v>89</v>
      </c>
      <c r="E22" s="4">
        <v>93</v>
      </c>
      <c r="F22" s="4">
        <v>88</v>
      </c>
      <c r="G22" s="6">
        <f t="shared" si="0"/>
        <v>89.97</v>
      </c>
      <c r="H22" s="4" t="str">
        <f t="shared" si="1"/>
        <v>A</v>
      </c>
      <c r="I22" s="7"/>
    </row>
    <row r="23" ht="15" spans="2:9">
      <c r="B23" s="4">
        <v>120047</v>
      </c>
      <c r="C23" s="5" t="s">
        <v>23</v>
      </c>
      <c r="D23" s="4">
        <v>80</v>
      </c>
      <c r="E23" s="4">
        <v>85</v>
      </c>
      <c r="F23" s="4">
        <v>79</v>
      </c>
      <c r="G23" s="6">
        <f t="shared" si="0"/>
        <v>81.3</v>
      </c>
      <c r="H23" s="4" t="str">
        <f t="shared" si="1"/>
        <v>A</v>
      </c>
      <c r="I23" s="7"/>
    </row>
    <row r="24" ht="15" spans="2:9">
      <c r="B24" s="4">
        <v>120049</v>
      </c>
      <c r="C24" s="5" t="s">
        <v>24</v>
      </c>
      <c r="D24" s="4">
        <v>94</v>
      </c>
      <c r="E24" s="4">
        <v>90</v>
      </c>
      <c r="F24" s="4">
        <v>95</v>
      </c>
      <c r="G24" s="6">
        <f t="shared" si="0"/>
        <v>93.03</v>
      </c>
      <c r="H24" s="4" t="str">
        <f t="shared" si="1"/>
        <v>A</v>
      </c>
      <c r="I24" s="7"/>
    </row>
    <row r="25" ht="15" spans="2:9">
      <c r="B25" s="4">
        <v>120054</v>
      </c>
      <c r="C25" s="5" t="s">
        <v>25</v>
      </c>
      <c r="D25" s="4">
        <v>77</v>
      </c>
      <c r="E25" s="4">
        <v>82</v>
      </c>
      <c r="F25" s="4">
        <v>76</v>
      </c>
      <c r="G25" s="6">
        <f t="shared" si="0"/>
        <v>78.3</v>
      </c>
      <c r="H25" s="4" t="str">
        <f t="shared" si="1"/>
        <v>AB</v>
      </c>
      <c r="I25" s="7"/>
    </row>
    <row r="26" ht="15" spans="2:9">
      <c r="B26" s="4">
        <v>120060</v>
      </c>
      <c r="C26" s="5" t="s">
        <v>26</v>
      </c>
      <c r="D26" s="4">
        <v>86</v>
      </c>
      <c r="E26" s="4">
        <v>89</v>
      </c>
      <c r="F26" s="4">
        <v>84</v>
      </c>
      <c r="G26" s="6">
        <f t="shared" si="0"/>
        <v>86.29</v>
      </c>
      <c r="H26" s="4" t="str">
        <f t="shared" si="1"/>
        <v>A</v>
      </c>
      <c r="I26" s="7"/>
    </row>
    <row r="27" ht="15" spans="2:9">
      <c r="B27" s="4">
        <v>120063</v>
      </c>
      <c r="C27" s="5" t="s">
        <v>27</v>
      </c>
      <c r="D27" s="4">
        <v>92</v>
      </c>
      <c r="E27" s="4">
        <v>88</v>
      </c>
      <c r="F27" s="4">
        <v>93</v>
      </c>
      <c r="G27" s="6">
        <f t="shared" si="0"/>
        <v>91.03</v>
      </c>
      <c r="H27" s="4" t="str">
        <f t="shared" si="1"/>
        <v>A</v>
      </c>
      <c r="I27" s="7"/>
    </row>
    <row r="28" ht="15" spans="2:9">
      <c r="B28" s="4">
        <v>120070</v>
      </c>
      <c r="C28" s="5" t="s">
        <v>28</v>
      </c>
      <c r="D28" s="4">
        <v>78</v>
      </c>
      <c r="E28" s="4">
        <v>83</v>
      </c>
      <c r="F28" s="4">
        <v>77</v>
      </c>
      <c r="G28" s="6">
        <f t="shared" si="0"/>
        <v>79.3</v>
      </c>
      <c r="H28" s="4" t="str">
        <f t="shared" si="1"/>
        <v>AB</v>
      </c>
      <c r="I28" s="7"/>
    </row>
    <row r="29" ht="15" spans="2:9">
      <c r="B29" s="4">
        <v>120071</v>
      </c>
      <c r="C29" s="5" t="s">
        <v>29</v>
      </c>
      <c r="D29" s="4">
        <v>41</v>
      </c>
      <c r="E29" s="4">
        <v>53</v>
      </c>
      <c r="F29" s="4">
        <v>44</v>
      </c>
      <c r="G29" s="6">
        <f t="shared" si="0"/>
        <v>46.01</v>
      </c>
      <c r="H29" s="4" t="str">
        <f t="shared" si="1"/>
        <v>F</v>
      </c>
      <c r="I29" s="7"/>
    </row>
    <row r="30" ht="15" spans="2:9">
      <c r="B30" s="4">
        <v>120073</v>
      </c>
      <c r="C30" s="5" t="s">
        <v>30</v>
      </c>
      <c r="D30" s="4">
        <v>68</v>
      </c>
      <c r="E30" s="4">
        <v>49</v>
      </c>
      <c r="F30" s="4">
        <v>54</v>
      </c>
      <c r="G30" s="6">
        <f t="shared" si="0"/>
        <v>56.83</v>
      </c>
      <c r="H30" s="4" t="str">
        <f t="shared" si="1"/>
        <v>C</v>
      </c>
      <c r="I30" s="7"/>
    </row>
    <row r="31" ht="15" spans="2:9">
      <c r="B31" s="4">
        <v>120082</v>
      </c>
      <c r="C31" s="5" t="s">
        <v>31</v>
      </c>
      <c r="D31" s="4">
        <v>81</v>
      </c>
      <c r="E31" s="4">
        <v>87</v>
      </c>
      <c r="F31" s="4">
        <v>80</v>
      </c>
      <c r="G31" s="6">
        <f t="shared" si="0"/>
        <v>82.63</v>
      </c>
      <c r="H31" s="4" t="str">
        <f t="shared" si="1"/>
        <v>A</v>
      </c>
      <c r="I31" s="7"/>
    </row>
    <row r="32" ht="15" spans="2:9">
      <c r="B32" s="4">
        <v>120083</v>
      </c>
      <c r="C32" s="5" t="s">
        <v>32</v>
      </c>
      <c r="D32" s="4">
        <v>87</v>
      </c>
      <c r="E32" s="4">
        <v>90</v>
      </c>
      <c r="F32" s="4">
        <v>85</v>
      </c>
      <c r="G32" s="6">
        <f t="shared" si="0"/>
        <v>87.29</v>
      </c>
      <c r="H32" s="4" t="str">
        <f t="shared" si="1"/>
        <v>A</v>
      </c>
      <c r="I32" s="7"/>
    </row>
    <row r="33" ht="15" spans="2:9">
      <c r="B33" s="4">
        <v>120088</v>
      </c>
      <c r="C33" s="5" t="s">
        <v>33</v>
      </c>
      <c r="D33" s="4">
        <v>79</v>
      </c>
      <c r="E33" s="4">
        <v>84</v>
      </c>
      <c r="F33" s="4">
        <v>78</v>
      </c>
      <c r="G33" s="6">
        <f t="shared" si="0"/>
        <v>80.3</v>
      </c>
      <c r="H33" s="4" t="str">
        <f t="shared" si="1"/>
        <v>AB</v>
      </c>
      <c r="I33" s="7"/>
    </row>
    <row r="34" ht="15" spans="2:9">
      <c r="B34" s="4">
        <v>120090</v>
      </c>
      <c r="C34" s="5" t="s">
        <v>34</v>
      </c>
      <c r="D34" s="4">
        <v>70</v>
      </c>
      <c r="E34" s="4">
        <v>77</v>
      </c>
      <c r="F34" s="4">
        <v>64</v>
      </c>
      <c r="G34" s="6">
        <f t="shared" si="0"/>
        <v>70.21</v>
      </c>
      <c r="H34" s="4" t="str">
        <f t="shared" si="1"/>
        <v>B</v>
      </c>
      <c r="I34" s="7"/>
    </row>
    <row r="35" ht="15" spans="2:9">
      <c r="B35" s="4">
        <v>120093</v>
      </c>
      <c r="C35" s="5" t="s">
        <v>35</v>
      </c>
      <c r="D35" s="4">
        <v>67</v>
      </c>
      <c r="E35" s="4">
        <v>54</v>
      </c>
      <c r="F35" s="4">
        <v>54</v>
      </c>
      <c r="G35" s="6">
        <f t="shared" si="0"/>
        <v>58.16</v>
      </c>
      <c r="H35" s="4" t="str">
        <f t="shared" si="1"/>
        <v>C</v>
      </c>
      <c r="I35" s="7"/>
    </row>
    <row r="36" ht="15" spans="2:9">
      <c r="B36" s="4">
        <v>120095</v>
      </c>
      <c r="C36" s="5" t="s">
        <v>36</v>
      </c>
      <c r="D36" s="4">
        <v>69</v>
      </c>
      <c r="E36" s="4">
        <v>62</v>
      </c>
      <c r="F36" s="4">
        <v>71</v>
      </c>
      <c r="G36" s="6">
        <f t="shared" si="0"/>
        <v>67.39</v>
      </c>
      <c r="H36" s="4" t="str">
        <f t="shared" si="1"/>
        <v>B</v>
      </c>
      <c r="I36" s="7"/>
    </row>
    <row r="37" ht="15" spans="2:9">
      <c r="B37" s="4">
        <v>120098</v>
      </c>
      <c r="C37" s="5" t="s">
        <v>37</v>
      </c>
      <c r="D37" s="4">
        <v>76</v>
      </c>
      <c r="E37" s="4">
        <v>81</v>
      </c>
      <c r="F37" s="4">
        <v>75</v>
      </c>
      <c r="G37" s="6">
        <f t="shared" si="0"/>
        <v>77.3</v>
      </c>
      <c r="H37" s="4" t="str">
        <f t="shared" si="1"/>
        <v>AB</v>
      </c>
      <c r="I37" s="7"/>
    </row>
    <row r="38" ht="15" spans="2:9">
      <c r="B38" s="4">
        <v>120099</v>
      </c>
      <c r="C38" s="5" t="s">
        <v>38</v>
      </c>
      <c r="D38" s="4">
        <v>60</v>
      </c>
      <c r="E38" s="4">
        <v>65</v>
      </c>
      <c r="F38" s="4">
        <v>64</v>
      </c>
      <c r="G38" s="6">
        <f t="shared" si="0"/>
        <v>63.05</v>
      </c>
      <c r="H38" s="4" t="str">
        <f t="shared" si="1"/>
        <v>BC</v>
      </c>
      <c r="I38" s="7"/>
    </row>
    <row r="39" spans="2:9">
      <c r="G39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Elviyenti</dc:creator>
  <cp:lastModifiedBy>MG QC</cp:lastModifiedBy>
  <dcterms:created xsi:type="dcterms:W3CDTF">2026-09-15T00:47:00Z</dcterms:created>
  <dcterms:modified xsi:type="dcterms:W3CDTF">2026-09-22T15:16:05Z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68EA362D0E4F4ACC88DF8436DEB098CA_13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